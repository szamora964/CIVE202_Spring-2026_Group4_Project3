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75287548_nebraska_edu/Documents/Sophomore Year 25-26/PYTHON CIVE/"/>
    </mc:Choice>
  </mc:AlternateContent>
  <xr:revisionPtr revIDLastSave="112" documentId="8_{E725EDA8-3D52-4EC6-A48C-90BF4AF184DB}" xr6:coauthVersionLast="47" xr6:coauthVersionMax="47" xr10:uidLastSave="{D1923D6C-CCBB-4615-AE66-2D0A5775A202}"/>
  <bookViews>
    <workbookView xWindow="3090" yWindow="3472" windowWidth="13500" windowHeight="9308"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l="1"/>
  <c r="E9" i="11" l="1"/>
  <c r="E15" i="11" l="1"/>
  <c r="F15" i="11" s="1"/>
  <c r="I5" i="11"/>
  <c r="H26" i="11"/>
  <c r="H25" i="11"/>
  <c r="H21" i="11"/>
  <c r="H14" i="11"/>
  <c r="H10" i="11"/>
  <c r="H8" i="11"/>
  <c r="E17" i="11" l="1"/>
  <c r="H9" i="11"/>
  <c r="E12" i="11"/>
  <c r="I6" i="11"/>
  <c r="H16" i="11" l="1"/>
  <c r="H17" i="11"/>
  <c r="H24" i="11"/>
  <c r="H22" i="11"/>
  <c r="F12" i="11"/>
  <c r="F11" i="11"/>
  <c r="H11" i="11" s="1"/>
  <c r="J5" i="11"/>
  <c r="K5" i="11" s="1"/>
  <c r="L5" i="11" s="1"/>
  <c r="M5" i="11" s="1"/>
  <c r="N5" i="11" s="1"/>
  <c r="O5" i="11" s="1"/>
  <c r="P5" i="11" s="1"/>
  <c r="I4" i="11"/>
  <c r="H18" i="11" l="1"/>
  <c r="H20" i="11"/>
  <c r="H23" i="11"/>
  <c r="H19" i="11"/>
  <c r="H12" i="11"/>
  <c r="P4" i="11"/>
  <c r="Q5" i="11"/>
  <c r="R5" i="11" s="1"/>
  <c r="S5" i="11" s="1"/>
  <c r="T5" i="11" s="1"/>
  <c r="U5" i="11" s="1"/>
  <c r="V5" i="11" s="1"/>
  <c r="W5" i="11" s="1"/>
  <c r="J6" i="11"/>
  <c r="F13" i="11" l="1"/>
  <c r="H13"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<sst xmlns="http://schemas.openxmlformats.org/spreadsheetml/2006/main" count="56" uniqueCount="51">
  <si>
    <t>Project #3</t>
  </si>
  <si>
    <t>Project start:</t>
  </si>
  <si>
    <t>Group Members</t>
  </si>
  <si>
    <t>Display week:</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</si>
  <si>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</si>
  <si>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</si>
  <si>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</si>
  <si>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</si>
  <si>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</si>
  <si>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</si>
  <si>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</si>
  <si>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</si>
  <si>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Planning and design</t>
  </si>
  <si>
    <t>Data Cleaning</t>
  </si>
  <si>
    <t>Data Processing</t>
  </si>
  <si>
    <t>Ashlee Zamora-Alvarez</t>
  </si>
  <si>
    <t>Define scope</t>
  </si>
  <si>
    <t xml:space="preserve"> Zane Smith</t>
  </si>
  <si>
    <t>Execution</t>
  </si>
  <si>
    <t xml:space="preserve">Writing Code </t>
  </si>
  <si>
    <t>Collin Mangnall</t>
  </si>
  <si>
    <t>Writing SOW</t>
  </si>
  <si>
    <t>Writing ACD</t>
  </si>
  <si>
    <t>Writing Technical Report</t>
  </si>
  <si>
    <t>Ashlee Zamora-Alvarez,  Zane Smith</t>
  </si>
  <si>
    <t xml:space="preserve">Time sheet </t>
  </si>
  <si>
    <t>Testing and validation</t>
  </si>
  <si>
    <t>Evaluation</t>
  </si>
  <si>
    <t>Final Report</t>
  </si>
  <si>
    <t>Evaluate progress</t>
  </si>
  <si>
    <t>Ashlee Zamora-Alvarez, Collin Mangnall</t>
  </si>
  <si>
    <t>Gather feedback</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</si>
  <si>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</si>
  <si>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</si>
  <si>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</si>
  <si>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</si>
  <si>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</si>
  <si>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</si>
  <si>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</si>
  <si>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</si>
  <si>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</si>
  <si>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</si>
  <si>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</si>
  <si>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</si>
  <si>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</si>
  <si>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</si>
  <si>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</si>
  <si>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Ashlee Zamora-Alvarez, Collin Mangnall, Zane Smith</t>
  </si>
  <si>
    <t>Zane smith</t>
  </si>
  <si>
    <t xml:space="preserve"> Collin Mangnall</t>
  </si>
  <si>
    <t>Ashlee Zamora-Alvarez, Collin Mangnall,  Zane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</si>
</sst>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19" xfId="0" applyNumberFormat="1" applyFont="1" applyFill="1" applyBorder="1" applyAlignment="1">
      <alignment horizontal="center" vertical="center"/>
    </xf>
    <xf numFmtId="167" fontId="21" fillId="12" borderId="17"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9" fillId="5" borderId="7" xfId="12" applyFont="1" applyFill="1" applyBorder="1">
      <alignment horizontal="left" vertical="center" indent="2"/>
    </xf>
    <xf numFmtId="0" fontId="19" fillId="5" borderId="7" xfId="11" applyFont="1" applyFill="1" applyBorder="1" applyAlignment="1">
      <alignment vertical="center"/>
    </xf>
    <xf numFmtId="9" fontId="1" fillId="5" borderId="7" xfId="2" applyFont="1" applyFill="1" applyBorder="1" applyAlignment="1">
      <alignment horizontal="center" vertical="center"/>
    </xf>
    <xf numFmtId="164" fontId="19" fillId="5" borderId="7"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9" xfId="0" applyFont="1" applyBorder="1" applyAlignment="1">
      <alignment vertical="center"/>
    </xf>
    <xf numFmtId="0" fontId="19" fillId="10" borderId="8" xfId="12" applyFont="1" applyFill="1" applyBorder="1">
      <alignment horizontal="left" vertical="center" indent="2"/>
    </xf>
    <xf numFmtId="0" fontId="19" fillId="10" borderId="8" xfId="11" applyFont="1" applyFill="1" applyBorder="1" applyAlignment="1">
      <alignment vertical="center"/>
    </xf>
    <xf numFmtId="9" fontId="1" fillId="10" borderId="8" xfId="2" applyFont="1" applyFill="1" applyBorder="1" applyAlignment="1">
      <alignment horizontal="center" vertical="center"/>
    </xf>
    <xf numFmtId="164" fontId="19" fillId="10" borderId="8"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horizontal="left" vertical="top"/>
    </xf>
    <xf numFmtId="0" fontId="13" fillId="0" borderId="0" xfId="3" applyAlignment="1">
      <alignment wrapText="1"/>
    </xf>
    <xf numFmtId="0" fontId="20"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11" borderId="15" xfId="0" applyFont="1" applyFill="1" applyBorder="1" applyAlignment="1">
      <alignment vertical="center"/>
    </xf>
    <xf numFmtId="0" fontId="4" fillId="2" borderId="20" xfId="0" applyFont="1" applyFill="1" applyBorder="1"/>
    <xf numFmtId="0" fontId="20" fillId="11" borderId="15"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topLeftCell="A3" zoomScale="66" zoomScaleNormal="100" zoomScalePageLayoutView="70" workbookViewId="0">
      <selection activeCell="D3" sqref="D3"/>
    </sheetView>
  </sheetViews>
  <sheetFormatPr defaultColWidth="8.75" defaultRowHeight="30" customHeight="1" x14ac:dyDescent="0.35"/>
  <cols>
    <col min="1" max="1" width="2.75" style="13" customWidth="1"/>
    <col min="2" max="2" width="22.75" customWidth="1"/>
    <col min="3" max="3" width="58.75" bestFit="1"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2.25">
      <c r="A1" s="14"/>
      <c r="B1" s="92" t="s">
        <v>0</v>
      </c>
      <c r="C1" s="18"/>
      <c r="D1" s="19"/>
      <c r="E1" s="20"/>
      <c r="F1" s="21"/>
      <c r="H1" s="1"/>
      <c r="I1" s="110" t="s">
        <v>1</v>
      </c>
      <c r="J1" s="111"/>
      <c r="K1" s="111"/>
      <c r="L1" s="111"/>
      <c r="M1" s="111"/>
      <c r="N1" s="111"/>
      <c r="O1" s="111"/>
      <c r="P1" s="24"/>
      <c r="Q1" s="109">
        <f>DATE(2026,3,9)</f>
        <v>46090</v>
      </c>
      <c r="R1" s="108"/>
      <c r="S1" s="108"/>
      <c r="T1" s="108"/>
      <c r="U1" s="108"/>
      <c r="V1" s="108"/>
      <c r="W1" s="108"/>
      <c r="X1" s="108"/>
      <c r="Y1" s="108"/>
      <c r="Z1" s="108"/>
    </row>
    <row r="2" spans="1:64" ht="30" customHeight="1" x14ac:dyDescent="0.9">
      <c r="B2" s="91" t="s">
        <v>2</v>
      </c>
      <c r="C2" s="100" t="s">
        <v>50</v>
      </c>
      <c r="D2" s="22"/>
      <c r="E2" s="23"/>
      <c r="F2" s="22"/>
      <c r="I2" s="110" t="s">
        <v>3</v>
      </c>
      <c r="J2" s="111"/>
      <c r="K2" s="111"/>
      <c r="L2" s="111"/>
      <c r="M2" s="111"/>
      <c r="N2" s="111"/>
      <c r="O2" s="111"/>
      <c r="P2" s="24"/>
      <c r="Q2" s="107">
        <v>1</v>
      </c>
      <c r="R2" s="108"/>
      <c r="S2" s="108"/>
      <c r="T2" s="108"/>
      <c r="U2" s="108"/>
      <c r="V2" s="108"/>
      <c r="W2" s="108"/>
      <c r="X2" s="108"/>
      <c r="Y2" s="108"/>
      <c r="Z2" s="108"/>
    </row>
    <row r="3" spans="1:64" s="26" customFormat="1" ht="30" customHeight="1" x14ac:dyDescent="0.4">
      <c r="A3" s="13"/>
      <c r="B3" s="25"/>
      <c r="D3" s="27"/>
      <c r="E3" s="28"/>
    </row>
    <row r="4" spans="1:64" s="26" customFormat="1" ht="30" customHeight="1" x14ac:dyDescent="0.35">
      <c r="A4" s="14"/>
      <c r="B4" s="29"/>
      <c r="E4" s="30"/>
      <c r="I4" s="114">
        <f>I5</f>
        <v>46090</v>
      </c>
      <c r="J4" s="112"/>
      <c r="K4" s="112"/>
      <c r="L4" s="112"/>
      <c r="M4" s="112"/>
      <c r="N4" s="112"/>
      <c r="O4" s="112"/>
      <c r="P4" s="112">
        <f>P5</f>
        <v>46097</v>
      </c>
      <c r="Q4" s="112"/>
      <c r="R4" s="112"/>
      <c r="S4" s="112"/>
      <c r="T4" s="112"/>
      <c r="U4" s="112"/>
      <c r="V4" s="112"/>
      <c r="W4" s="112">
        <f>W5</f>
        <v>46104</v>
      </c>
      <c r="X4" s="112"/>
      <c r="Y4" s="112"/>
      <c r="Z4" s="112"/>
      <c r="AA4" s="112"/>
      <c r="AB4" s="112"/>
      <c r="AC4" s="112"/>
      <c r="AD4" s="112">
        <f>AD5</f>
        <v>46111</v>
      </c>
      <c r="AE4" s="112"/>
      <c r="AF4" s="112"/>
      <c r="AG4" s="112"/>
      <c r="AH4" s="112"/>
      <c r="AI4" s="112"/>
      <c r="AJ4" s="112"/>
      <c r="AK4" s="112">
        <f>AK5</f>
        <v>46118</v>
      </c>
      <c r="AL4" s="112"/>
      <c r="AM4" s="112"/>
      <c r="AN4" s="112"/>
      <c r="AO4" s="112"/>
      <c r="AP4" s="112"/>
      <c r="AQ4" s="112"/>
      <c r="AR4" s="112">
        <f>AR5</f>
        <v>46125</v>
      </c>
      <c r="AS4" s="112"/>
      <c r="AT4" s="112"/>
      <c r="AU4" s="112"/>
      <c r="AV4" s="112"/>
      <c r="AW4" s="112"/>
      <c r="AX4" s="112"/>
      <c r="AY4" s="112">
        <f>AY5</f>
        <v>46132</v>
      </c>
      <c r="AZ4" s="112"/>
      <c r="BA4" s="112"/>
      <c r="BB4" s="112"/>
      <c r="BC4" s="112"/>
      <c r="BD4" s="112"/>
      <c r="BE4" s="112"/>
      <c r="BF4" s="112">
        <f>BF5</f>
        <v>46139</v>
      </c>
      <c r="BG4" s="112"/>
      <c r="BH4" s="112"/>
      <c r="BI4" s="112"/>
      <c r="BJ4" s="112"/>
      <c r="BK4" s="112"/>
      <c r="BL4" s="113"/>
    </row>
    <row r="5" spans="1:64" s="26" customFormat="1" ht="15" customHeight="1" x14ac:dyDescent="0.35">
      <c r="A5" s="101"/>
      <c r="B5" s="102" t="s">
        <v>4</v>
      </c>
      <c r="C5" s="104" t="s">
        <v>5</v>
      </c>
      <c r="D5" s="106" t="s">
        <v>6</v>
      </c>
      <c r="E5" s="106" t="s">
        <v>7</v>
      </c>
      <c r="F5" s="106" t="s">
        <v>8</v>
      </c>
      <c r="I5" s="31">
        <f>Project_Start-WEEKDAY(Project_Start,1)+2+7*(Display_Week-1)</f>
        <v>46090</v>
      </c>
      <c r="J5" s="31">
        <f>I5+1</f>
        <v>46091</v>
      </c>
      <c r="K5" s="31">
        <f t="shared" ref="K5:AX5" si="0">J5+1</f>
        <v>46092</v>
      </c>
      <c r="L5" s="31">
        <f t="shared" si="0"/>
        <v>46093</v>
      </c>
      <c r="M5" s="31">
        <f t="shared" si="0"/>
        <v>46094</v>
      </c>
      <c r="N5" s="31">
        <f t="shared" si="0"/>
        <v>46095</v>
      </c>
      <c r="O5" s="32">
        <f t="shared" si="0"/>
        <v>46096</v>
      </c>
      <c r="P5" s="33">
        <f>O5+1</f>
        <v>46097</v>
      </c>
      <c r="Q5" s="31">
        <f>P5+1</f>
        <v>46098</v>
      </c>
      <c r="R5" s="31">
        <f t="shared" si="0"/>
        <v>46099</v>
      </c>
      <c r="S5" s="31">
        <f t="shared" si="0"/>
        <v>46100</v>
      </c>
      <c r="T5" s="31">
        <f t="shared" si="0"/>
        <v>46101</v>
      </c>
      <c r="U5" s="31">
        <f t="shared" si="0"/>
        <v>46102</v>
      </c>
      <c r="V5" s="32">
        <f t="shared" si="0"/>
        <v>46103</v>
      </c>
      <c r="W5" s="33">
        <f>V5+1</f>
        <v>46104</v>
      </c>
      <c r="X5" s="31">
        <f>W5+1</f>
        <v>46105</v>
      </c>
      <c r="Y5" s="31">
        <f t="shared" si="0"/>
        <v>46106</v>
      </c>
      <c r="Z5" s="31">
        <f t="shared" si="0"/>
        <v>46107</v>
      </c>
      <c r="AA5" s="31">
        <f t="shared" si="0"/>
        <v>46108</v>
      </c>
      <c r="AB5" s="31">
        <f t="shared" si="0"/>
        <v>46109</v>
      </c>
      <c r="AC5" s="32">
        <f t="shared" si="0"/>
        <v>46110</v>
      </c>
      <c r="AD5" s="33">
        <f>AC5+1</f>
        <v>46111</v>
      </c>
      <c r="AE5" s="31">
        <f>AD5+1</f>
        <v>46112</v>
      </c>
      <c r="AF5" s="31">
        <f t="shared" si="0"/>
        <v>46113</v>
      </c>
      <c r="AG5" s="31">
        <f t="shared" si="0"/>
        <v>46114</v>
      </c>
      <c r="AH5" s="31">
        <f t="shared" si="0"/>
        <v>46115</v>
      </c>
      <c r="AI5" s="31">
        <f t="shared" si="0"/>
        <v>46116</v>
      </c>
      <c r="AJ5" s="32">
        <f t="shared" si="0"/>
        <v>46117</v>
      </c>
      <c r="AK5" s="33">
        <f>AJ5+1</f>
        <v>46118</v>
      </c>
      <c r="AL5" s="31">
        <f>AK5+1</f>
        <v>46119</v>
      </c>
      <c r="AM5" s="31">
        <f t="shared" si="0"/>
        <v>46120</v>
      </c>
      <c r="AN5" s="31">
        <f t="shared" si="0"/>
        <v>46121</v>
      </c>
      <c r="AO5" s="31">
        <f t="shared" si="0"/>
        <v>46122</v>
      </c>
      <c r="AP5" s="31">
        <f t="shared" si="0"/>
        <v>46123</v>
      </c>
      <c r="AQ5" s="32">
        <f t="shared" si="0"/>
        <v>46124</v>
      </c>
      <c r="AR5" s="33">
        <f>AQ5+1</f>
        <v>46125</v>
      </c>
      <c r="AS5" s="31">
        <f>AR5+1</f>
        <v>46126</v>
      </c>
      <c r="AT5" s="31">
        <f t="shared" si="0"/>
        <v>46127</v>
      </c>
      <c r="AU5" s="31">
        <f t="shared" si="0"/>
        <v>46128</v>
      </c>
      <c r="AV5" s="31">
        <f t="shared" si="0"/>
        <v>46129</v>
      </c>
      <c r="AW5" s="31">
        <f t="shared" si="0"/>
        <v>46130</v>
      </c>
      <c r="AX5" s="32">
        <f t="shared" si="0"/>
        <v>46131</v>
      </c>
      <c r="AY5" s="33">
        <f>AX5+1</f>
        <v>46132</v>
      </c>
      <c r="AZ5" s="31">
        <f>AY5+1</f>
        <v>46133</v>
      </c>
      <c r="BA5" s="31">
        <f t="shared" ref="BA5:BE5" si="1">AZ5+1</f>
        <v>46134</v>
      </c>
      <c r="BB5" s="31">
        <f t="shared" si="1"/>
        <v>46135</v>
      </c>
      <c r="BC5" s="31">
        <f t="shared" si="1"/>
        <v>46136</v>
      </c>
      <c r="BD5" s="31">
        <f t="shared" si="1"/>
        <v>46137</v>
      </c>
      <c r="BE5" s="32">
        <f t="shared" si="1"/>
        <v>46138</v>
      </c>
      <c r="BF5" s="33">
        <f>BE5+1</f>
        <v>46139</v>
      </c>
      <c r="BG5" s="31">
        <f>BF5+1</f>
        <v>46140</v>
      </c>
      <c r="BH5" s="31">
        <f t="shared" ref="BH5:BL5" si="2">BG5+1</f>
        <v>46141</v>
      </c>
      <c r="BI5" s="31">
        <f t="shared" si="2"/>
        <v>46142</v>
      </c>
      <c r="BJ5" s="31">
        <f t="shared" si="2"/>
        <v>46143</v>
      </c>
      <c r="BK5" s="31">
        <f t="shared" si="2"/>
        <v>46144</v>
      </c>
      <c r="BL5" s="31">
        <f t="shared" si="2"/>
        <v>46145</v>
      </c>
    </row>
    <row r="6" spans="1:64" s="26" customFormat="1" ht="15" customHeight="1" thickBot="1" x14ac:dyDescent="0.4">
      <c r="A6" s="101"/>
      <c r="B6" s="103"/>
      <c r="C6" s="105"/>
      <c r="D6" s="105"/>
      <c r="E6" s="105"/>
      <c r="F6" s="105"/>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4">
      <c r="A7" s="13" t="s">
        <v>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4">
      <c r="A8" s="14"/>
      <c r="B8" s="40" t="s">
        <v>10</v>
      </c>
      <c r="C8" s="41"/>
      <c r="D8" s="42"/>
      <c r="E8" s="43"/>
      <c r="F8" s="44"/>
      <c r="G8" s="17"/>
      <c r="H8" s="5" t="str">
        <f t="shared" ref="H8:H26"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4">
      <c r="A9" s="14"/>
      <c r="B9" s="47" t="s">
        <v>11</v>
      </c>
      <c r="C9" s="47" t="s">
        <v>47</v>
      </c>
      <c r="D9" s="48">
        <v>0.5</v>
      </c>
      <c r="E9" s="49">
        <f>Project_Start</f>
        <v>46090</v>
      </c>
      <c r="F9" s="49">
        <v>46102</v>
      </c>
      <c r="G9" s="17"/>
      <c r="H9" s="5">
        <f t="shared" si="5"/>
        <v>13</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6" customFormat="1" ht="30" customHeight="1" thickBot="1" x14ac:dyDescent="0.4">
      <c r="A10" s="14"/>
      <c r="B10" s="52" t="s">
        <v>12</v>
      </c>
      <c r="C10" s="53"/>
      <c r="D10" s="54"/>
      <c r="E10" s="55"/>
      <c r="F10" s="56"/>
      <c r="G10" s="17"/>
      <c r="H10" s="5" t="str">
        <f t="shared" si="5"/>
        <v/>
      </c>
    </row>
    <row r="11" spans="1:64" s="46" customFormat="1" ht="30" customHeight="1" thickBot="1" x14ac:dyDescent="0.4">
      <c r="A11" s="14"/>
      <c r="B11" s="57" t="s">
        <v>13</v>
      </c>
      <c r="C11" s="58" t="s">
        <v>20</v>
      </c>
      <c r="D11" s="59">
        <v>0.25</v>
      </c>
      <c r="E11" s="60">
        <v>46097</v>
      </c>
      <c r="F11" s="60">
        <f>E11+4</f>
        <v>46101</v>
      </c>
      <c r="G11" s="17"/>
      <c r="H11" s="5">
        <f t="shared"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6" customFormat="1" ht="30" customHeight="1" thickBot="1" x14ac:dyDescent="0.4">
      <c r="A12" s="13"/>
      <c r="B12" s="57" t="s">
        <v>14</v>
      </c>
      <c r="C12" s="58" t="s">
        <v>15</v>
      </c>
      <c r="D12" s="59">
        <v>0.5</v>
      </c>
      <c r="E12" s="60">
        <f>E11+2</f>
        <v>46099</v>
      </c>
      <c r="F12" s="60">
        <f>E12+5</f>
        <v>46104</v>
      </c>
      <c r="G12" s="17"/>
      <c r="H12" s="5">
        <f t="shared" si="5"/>
        <v>6</v>
      </c>
      <c r="I12" s="50"/>
      <c r="J12" s="50"/>
      <c r="K12" s="50"/>
      <c r="L12" s="50"/>
      <c r="M12" s="50"/>
      <c r="N12" s="50"/>
      <c r="O12" s="50"/>
      <c r="P12" s="50"/>
      <c r="Q12" s="50"/>
      <c r="R12" s="50"/>
      <c r="S12" s="50"/>
      <c r="T12" s="50"/>
      <c r="U12" s="51"/>
      <c r="V12" s="51"/>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6" customFormat="1" ht="30" customHeight="1" thickBot="1" x14ac:dyDescent="0.4">
      <c r="A13" s="13"/>
      <c r="B13" s="57" t="s">
        <v>16</v>
      </c>
      <c r="C13" s="58" t="s">
        <v>17</v>
      </c>
      <c r="D13" s="59">
        <v>0.5</v>
      </c>
      <c r="E13" s="60">
        <v>46080</v>
      </c>
      <c r="F13" s="60">
        <f>E13+2</f>
        <v>46082</v>
      </c>
      <c r="G13" s="17"/>
      <c r="H13" s="5">
        <f t="shared" si="5"/>
        <v>3</v>
      </c>
      <c r="I13" s="50"/>
      <c r="J13" s="50"/>
      <c r="K13" s="50"/>
      <c r="L13" s="50"/>
      <c r="M13" s="50"/>
      <c r="N13" s="50"/>
      <c r="O13" s="50"/>
      <c r="P13" s="50"/>
      <c r="Q13" s="50"/>
      <c r="R13" s="50"/>
      <c r="S13" s="50"/>
      <c r="T13" s="50"/>
      <c r="U13" s="50"/>
      <c r="V13" s="50"/>
      <c r="W13" s="50"/>
      <c r="X13" s="50"/>
      <c r="Y13" s="51"/>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6" customFormat="1" ht="30" customHeight="1" thickBot="1" x14ac:dyDescent="0.4">
      <c r="A14" s="13"/>
      <c r="B14" s="61" t="s">
        <v>18</v>
      </c>
      <c r="C14" s="62"/>
      <c r="D14" s="63"/>
      <c r="E14" s="64"/>
      <c r="F14" s="65"/>
      <c r="G14" s="17"/>
      <c r="H14" s="5" t="str">
        <f t="shared" si="5"/>
        <v/>
      </c>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row>
    <row r="15" spans="1:64" s="46" customFormat="1" ht="30" customHeight="1" thickBot="1" x14ac:dyDescent="0.4">
      <c r="A15" s="13"/>
      <c r="B15" s="67" t="s">
        <v>19</v>
      </c>
      <c r="C15" s="68" t="s">
        <v>20</v>
      </c>
      <c r="D15" s="69">
        <v>0.5</v>
      </c>
      <c r="E15" s="70">
        <f>E9+15</f>
        <v>46105</v>
      </c>
      <c r="F15" s="70">
        <f>E15+5</f>
        <v>46110</v>
      </c>
      <c r="G15" s="17"/>
      <c r="H15" s="5"/>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row>
    <row r="16" spans="1:64" s="46" customFormat="1" ht="28.5" customHeight="1" thickBot="1" x14ac:dyDescent="0.4">
      <c r="A16" s="13"/>
      <c r="B16" s="67" t="s">
        <v>21</v>
      </c>
      <c r="C16" s="68" t="s">
        <v>15</v>
      </c>
      <c r="D16" s="69">
        <v>0.5</v>
      </c>
      <c r="E16" s="70">
        <v>46096</v>
      </c>
      <c r="F16" s="70">
        <v>46101</v>
      </c>
      <c r="G16" s="17"/>
      <c r="H16" s="5">
        <f t="shared" si="5"/>
        <v>6</v>
      </c>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6" customFormat="1" ht="30" customHeight="1" thickBot="1" x14ac:dyDescent="0.4">
      <c r="A17" s="13"/>
      <c r="B17" s="67" t="s">
        <v>22</v>
      </c>
      <c r="C17" s="68" t="s">
        <v>48</v>
      </c>
      <c r="D17" s="69">
        <v>0.6</v>
      </c>
      <c r="E17" s="70">
        <f>F15+1</f>
        <v>46111</v>
      </c>
      <c r="F17" s="70">
        <v>46102</v>
      </c>
      <c r="G17" s="17"/>
      <c r="H17" s="5">
        <f t="shared" si="5"/>
        <v>-8</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6" customFormat="1" ht="30" customHeight="1" thickBot="1" x14ac:dyDescent="0.4">
      <c r="A18" s="13"/>
      <c r="B18" s="67" t="s">
        <v>23</v>
      </c>
      <c r="C18" s="68" t="s">
        <v>24</v>
      </c>
      <c r="D18" s="69">
        <v>0.5</v>
      </c>
      <c r="E18" s="70">
        <v>46087</v>
      </c>
      <c r="F18" s="70">
        <v>46101</v>
      </c>
      <c r="G18" s="17"/>
      <c r="H18" s="5">
        <f t="shared" si="5"/>
        <v>15</v>
      </c>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6" customFormat="1" ht="30" customHeight="1" thickBot="1" x14ac:dyDescent="0.4">
      <c r="A19" s="13"/>
      <c r="B19" s="67" t="s">
        <v>25</v>
      </c>
      <c r="C19" s="68" t="s">
        <v>47</v>
      </c>
      <c r="D19" s="69">
        <v>0.25</v>
      </c>
      <c r="E19" s="70">
        <v>46080</v>
      </c>
      <c r="F19" s="70">
        <v>46102</v>
      </c>
      <c r="G19" s="17"/>
      <c r="H19" s="5">
        <f t="shared" si="5"/>
        <v>23</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6" customFormat="1" ht="30" customHeight="1" thickBot="1" x14ac:dyDescent="0.4">
      <c r="A20" s="13"/>
      <c r="B20" s="67" t="s">
        <v>26</v>
      </c>
      <c r="C20" s="68" t="s">
        <v>49</v>
      </c>
      <c r="D20" s="69">
        <v>0.25</v>
      </c>
      <c r="E20" s="70">
        <v>46101</v>
      </c>
      <c r="F20" s="70">
        <v>46101</v>
      </c>
      <c r="G20" s="17"/>
      <c r="H20" s="5">
        <f t="shared" si="5"/>
        <v>1</v>
      </c>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row>
    <row r="21" spans="1:64" s="46" customFormat="1" ht="30" customHeight="1" thickBot="1" x14ac:dyDescent="0.4">
      <c r="A21" s="13"/>
      <c r="B21" s="71" t="s">
        <v>27</v>
      </c>
      <c r="C21" s="72"/>
      <c r="D21" s="73"/>
      <c r="E21" s="74"/>
      <c r="F21" s="75"/>
      <c r="G21" s="17"/>
      <c r="H21" s="5" t="str">
        <f t="shared" si="5"/>
        <v/>
      </c>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row>
    <row r="22" spans="1:64" s="46" customFormat="1" ht="30" customHeight="1" thickBot="1" x14ac:dyDescent="0.4">
      <c r="A22" s="13"/>
      <c r="B22" s="77" t="s">
        <v>28</v>
      </c>
      <c r="C22" s="78" t="s">
        <v>47</v>
      </c>
      <c r="D22" s="79">
        <v>0.25</v>
      </c>
      <c r="E22" s="80">
        <v>46083</v>
      </c>
      <c r="F22" s="80">
        <v>46102</v>
      </c>
      <c r="G22" s="17"/>
      <c r="H22" s="5">
        <f t="shared" si="5"/>
        <v>20</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6" customFormat="1" ht="30" customHeight="1" thickBot="1" x14ac:dyDescent="0.4">
      <c r="A23" s="13"/>
      <c r="B23" s="77" t="s">
        <v>29</v>
      </c>
      <c r="C23" s="78" t="s">
        <v>30</v>
      </c>
      <c r="D23" s="79">
        <v>0.5</v>
      </c>
      <c r="E23" s="80">
        <v>46097</v>
      </c>
      <c r="F23" s="80">
        <v>46102</v>
      </c>
      <c r="G23" s="17"/>
      <c r="H23" s="5">
        <f t="shared"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6" customFormat="1" ht="30" customHeight="1" thickBot="1" x14ac:dyDescent="0.4">
      <c r="A24" s="13"/>
      <c r="B24" s="77" t="s">
        <v>31</v>
      </c>
      <c r="C24" s="78" t="s">
        <v>47</v>
      </c>
      <c r="D24" s="79">
        <v>0.5</v>
      </c>
      <c r="E24" s="80">
        <v>46101</v>
      </c>
      <c r="F24" s="80">
        <v>46102</v>
      </c>
      <c r="G24" s="17"/>
      <c r="H24" s="5">
        <f t="shared" si="5"/>
        <v>2</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6" customFormat="1" ht="30" customHeight="1" thickBot="1" x14ac:dyDescent="0.4">
      <c r="A25" s="13"/>
      <c r="B25" s="81"/>
      <c r="C25" s="82"/>
      <c r="D25" s="83"/>
      <c r="E25" s="84"/>
      <c r="F25" s="84"/>
      <c r="G25" s="17"/>
      <c r="H25" s="5" t="str">
        <f t="shared" si="5"/>
        <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6" customFormat="1" ht="30" customHeight="1" thickBot="1" x14ac:dyDescent="0.4">
      <c r="A26" s="14"/>
      <c r="B26" s="85" t="s">
        <v>32</v>
      </c>
      <c r="C26" s="86"/>
      <c r="D26" s="87"/>
      <c r="E26" s="88"/>
      <c r="F26" s="89"/>
      <c r="G26" s="17"/>
      <c r="H26" s="6" t="str">
        <f t="shared" si="5"/>
        <v/>
      </c>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row>
    <row r="27" spans="1:64" ht="30" customHeight="1" x14ac:dyDescent="0.35">
      <c r="G27" s="3"/>
    </row>
    <row r="28" spans="1:64" ht="30" customHeight="1" x14ac:dyDescent="0.4">
      <c r="C28" s="16"/>
      <c r="F28" s="15"/>
    </row>
    <row r="29" spans="1:64" ht="30" customHeight="1" x14ac:dyDescent="0.35">
      <c r="C29"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4">
    <cfRule type="expression" dxfId="8" priority="1">
      <formula>AND(TODAY()&gt;=I$5, TODAY()&lt;J$5)</formula>
    </cfRule>
  </conditionalFormatting>
  <conditionalFormatting sqref="I9:BL9">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1:BL13">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6:BL20">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2:BL24">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0" xr:uid="{4F48FC41-E335-47F1-87AA-3333A52AD81C}"/>
    <dataValidation allowBlank="1" showInputMessage="1" showErrorMessage="1" prompt="Phase 3's sample block starts in cell B20." sqref="A14:A15"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35"/>
  <cols>
    <col min="1" max="1" width="87" style="7" customWidth="1"/>
    <col min="2" max="16384" width="9" style="1"/>
  </cols>
  <sheetData>
    <row r="1" spans="1:2" ht="46.5" customHeight="1" x14ac:dyDescent="0.35"/>
    <row r="2" spans="1:2" s="9" customFormat="1" ht="15" x14ac:dyDescent="0.35">
      <c r="A2" s="93" t="s">
        <v>33</v>
      </c>
      <c r="B2" s="8"/>
    </row>
    <row r="3" spans="1:2" s="11" customFormat="1" ht="27" customHeight="1" x14ac:dyDescent="0.35">
      <c r="A3" s="94"/>
      <c r="B3" s="12"/>
    </row>
    <row r="4" spans="1:2" s="10" customFormat="1" ht="30" x14ac:dyDescent="1.1000000000000001">
      <c r="A4" s="95" t="s">
        <v>34</v>
      </c>
    </row>
    <row r="5" spans="1:2" ht="74.25" customHeight="1" x14ac:dyDescent="0.35">
      <c r="A5" s="96" t="s">
        <v>35</v>
      </c>
    </row>
    <row r="6" spans="1:2" ht="26.25" customHeight="1" x14ac:dyDescent="0.35">
      <c r="A6" s="95" t="s">
        <v>36</v>
      </c>
    </row>
    <row r="7" spans="1:2" s="7" customFormat="1" ht="205.15" customHeight="1" x14ac:dyDescent="0.35">
      <c r="A7" s="97" t="s">
        <v>37</v>
      </c>
    </row>
    <row r="8" spans="1:2" s="10" customFormat="1" ht="30" x14ac:dyDescent="1.1000000000000001">
      <c r="A8" s="95" t="s">
        <v>38</v>
      </c>
    </row>
    <row r="9" spans="1:2" ht="40.5" x14ac:dyDescent="0.35">
      <c r="A9" s="96" t="s">
        <v>39</v>
      </c>
    </row>
    <row r="10" spans="1:2" s="7" customFormat="1" ht="28.15" customHeight="1" x14ac:dyDescent="0.35">
      <c r="A10" s="98" t="s">
        <v>40</v>
      </c>
    </row>
    <row r="11" spans="1:2" s="10" customFormat="1" ht="30" x14ac:dyDescent="1.1000000000000001">
      <c r="A11" s="95" t="s">
        <v>41</v>
      </c>
    </row>
    <row r="12" spans="1:2" ht="27" x14ac:dyDescent="0.35">
      <c r="A12" s="96" t="s">
        <v>42</v>
      </c>
    </row>
    <row r="13" spans="1:2" s="7" customFormat="1" ht="28.15" customHeight="1" x14ac:dyDescent="0.35">
      <c r="A13" s="98" t="s">
        <v>43</v>
      </c>
    </row>
    <row r="14" spans="1:2" s="10" customFormat="1" ht="30" x14ac:dyDescent="1.1000000000000001">
      <c r="A14" s="95" t="s">
        <v>44</v>
      </c>
    </row>
    <row r="15" spans="1:2" ht="75" customHeight="1" x14ac:dyDescent="0.35">
      <c r="A15" s="96" t="s">
        <v>45</v>
      </c>
    </row>
    <row r="16" spans="1:2" ht="67.5" x14ac:dyDescent="0.35">
      <c r="A16" s="96" t="s">
        <v>46</v>
      </c>
    </row>
    <row r="17" spans="1:1" x14ac:dyDescent="0.35">
      <c r="A17" s="99"/>
    </row>
    <row r="18" spans="1:1" x14ac:dyDescent="0.35">
      <c r="A18" s="99"/>
    </row>
    <row r="19" spans="1:1" x14ac:dyDescent="0.35">
      <c r="A19" s="99"/>
    </row>
    <row r="20" spans="1:1" x14ac:dyDescent="0.35">
      <c r="A20" s="99"/>
    </row>
    <row r="21" spans="1:1" x14ac:dyDescent="0.35">
      <c r="A21" s="99"/>
    </row>
    <row r="22" spans="1:1" x14ac:dyDescent="0.35">
      <c r="A22" s="99"/>
    </row>
    <row r="23" spans="1:1" x14ac:dyDescent="0.35">
      <c r="A23" s="99"/>
    </row>
    <row r="24" spans="1:1" x14ac:dyDescent="0.35">
      <c r="A24" s="9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Ashlee Zamora Alvarez</dc:creator>
  <cp:keywords/>
  <dc:description/>
  <cp:lastModifiedBy>Ashlee Zamora Alvarez</cp:lastModifiedBy>
  <cp:revision/>
  <dcterms:created xsi:type="dcterms:W3CDTF">2022-03-11T22:41:12Z</dcterms:created>
  <dcterms:modified xsi:type="dcterms:W3CDTF">2026-03-30T17:19:09Z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